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jogg/Desktop/Clases Economía Aplicada-2025/UNIDAD 2 Estudio de Mercado y Análisis Eco.Financiero/Clases de Práctico/Repaso para el 2do. Parcial (21-05-25)/"/>
    </mc:Choice>
  </mc:AlternateContent>
  <xr:revisionPtr revIDLastSave="0" documentId="13_ncr:1_{5D766B7F-0802-0B43-ACCE-C580A321C39F}" xr6:coauthVersionLast="36" xr6:coauthVersionMax="36" xr10:uidLastSave="{00000000-0000-0000-0000-000000000000}"/>
  <bookViews>
    <workbookView xWindow="0" yWindow="0" windowWidth="28800" windowHeight="18000" xr2:uid="{39F5873C-7ADC-F841-B717-EF16A323686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C30" i="1"/>
  <c r="C47" i="1" l="1"/>
  <c r="D45" i="1"/>
  <c r="E45" i="1" s="1"/>
  <c r="F45" i="1" s="1"/>
  <c r="G45" i="1" s="1"/>
  <c r="H45" i="1" s="1"/>
  <c r="H35" i="1"/>
  <c r="G35" i="1"/>
  <c r="F35" i="1"/>
  <c r="E35" i="1"/>
  <c r="D35" i="1"/>
  <c r="D36" i="1" s="1"/>
  <c r="E36" i="1" s="1"/>
  <c r="F36" i="1" s="1"/>
  <c r="G36" i="1" s="1"/>
  <c r="H36" i="1" s="1"/>
  <c r="C35" i="1"/>
  <c r="H28" i="1"/>
  <c r="G28" i="1"/>
  <c r="F28" i="1"/>
  <c r="C10" i="1"/>
  <c r="C11" i="1"/>
  <c r="C12" i="1"/>
</calcChain>
</file>

<file path=xl/sharedStrings.xml><?xml version="1.0" encoding="utf-8"?>
<sst xmlns="http://schemas.openxmlformats.org/spreadsheetml/2006/main" count="57" uniqueCount="23">
  <si>
    <t xml:space="preserve">Proyecto A: </t>
  </si>
  <si>
    <t>INVERSIÓN INICIAL</t>
  </si>
  <si>
    <t>Año 1</t>
  </si>
  <si>
    <t>Año 2</t>
  </si>
  <si>
    <t xml:space="preserve">Año 3 </t>
  </si>
  <si>
    <t>Año 4</t>
  </si>
  <si>
    <t>Año 5</t>
  </si>
  <si>
    <t>CONCEPTO</t>
  </si>
  <si>
    <t xml:space="preserve">Proyecto B: </t>
  </si>
  <si>
    <t xml:space="preserve">Proyecto C: </t>
  </si>
  <si>
    <t>CONCLUSIÓN: Seún el método del VAN, el Proyecto más rentable es el A; le sigue el Proyecto C y por último el Proyecto B</t>
  </si>
  <si>
    <t>a) Si aplicamos el Criterio del VAN:</t>
  </si>
  <si>
    <t>b) Aplicando el criterio del Pay Back:</t>
  </si>
  <si>
    <t>FFA Proy. A</t>
  </si>
  <si>
    <t>PRI =</t>
  </si>
  <si>
    <t>años</t>
  </si>
  <si>
    <t>FFA Proy. B</t>
  </si>
  <si>
    <t>El PRI es de 3 años y 8 meses</t>
  </si>
  <si>
    <t>El PRI es de 4 años y 4 meses</t>
  </si>
  <si>
    <t>FFA Proy. C</t>
  </si>
  <si>
    <t>El PRI es de 2 años y 10,5 meses</t>
  </si>
  <si>
    <t>CONCLUSIÓN: Según el PRI el proyecto con menor Plazo de Recupero es el C; le siguen el Proyecto A y por último el Proyecto B</t>
  </si>
  <si>
    <t xml:space="preserve">ACTIVIDAD 1: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</si>
</sst>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0" fillId="2" borderId="0" xfId="1" applyFont="1" applyFill="1"/>
    <xf numFmtId="0" fontId="4" fillId="2" borderId="0" xfId="0" applyFont="1" applyFill="1"/>
    <xf numFmtId="0" fontId="0" fillId="2" borderId="1" xfId="0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/>
    </xf>
    <xf numFmtId="164" fontId="3" fillId="2" borderId="0" xfId="0" applyNumberFormat="1" applyFont="1" applyFill="1"/>
    <xf numFmtId="0" fontId="2" fillId="2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8</xdr:row>
      <xdr:rowOff>76200</xdr:rowOff>
    </xdr:from>
    <xdr:to>
      <xdr:col>9</xdr:col>
      <xdr:colOff>819607</xdr:colOff>
      <xdr:row>12</xdr:row>
      <xdr:rowOff>56850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A1028-1AF8-E540-BA89-D2DD6EF5A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800" y="2641600"/>
          <a:ext cx="5124907" cy="79345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50800</xdr:colOff>
      <xdr:row>17</xdr:row>
      <xdr:rowOff>76200</xdr:rowOff>
    </xdr:from>
    <xdr:to>
      <xdr:col>8</xdr:col>
      <xdr:colOff>13222</xdr:colOff>
      <xdr:row>22</xdr:row>
      <xdr:rowOff>21613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ECA71F2-7D56-3B49-ADEB-8CE8A81FD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100" y="4064000"/>
          <a:ext cx="5944122" cy="96141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86BA-1E93-B047-A301-F66E52C5A3D7}">
  <dimension ref="A1:O50"/>
  <sheetViews>
    <sheetView tabSelected="1" topLeftCell="A17" workbookViewId="0">
      <selection activeCell="N38" sqref="N38"/>
    </sheetView>
  </sheetViews>
  <sheetFormatPr baseColWidth="10" defaultRowHeight="16" x14ac:dyDescent="0.2"/>
  <cols>
    <col min="1" max="1" width="6.5" customWidth="1"/>
    <col min="2" max="2" width="11.33203125" customWidth="1"/>
    <col min="3" max="3" width="13" bestFit="1" customWidth="1"/>
  </cols>
  <sheetData>
    <row r="1" spans="1:15" x14ac:dyDescent="0.2">
      <c r="A1" s="2"/>
      <c r="B1" s="1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4" x14ac:dyDescent="0.2">
      <c r="A3" s="2"/>
      <c r="B3" s="3" t="s">
        <v>7</v>
      </c>
      <c r="C3" s="4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2"/>
      <c r="J3" s="2"/>
      <c r="K3" s="2"/>
      <c r="L3" s="2"/>
      <c r="M3" s="2"/>
      <c r="N3" s="2"/>
      <c r="O3" s="2"/>
    </row>
    <row r="4" spans="1:15" ht="24" customHeight="1" x14ac:dyDescent="0.2">
      <c r="A4" s="2"/>
      <c r="B4" s="5" t="s">
        <v>0</v>
      </c>
      <c r="C4" s="6">
        <v>10000000</v>
      </c>
      <c r="D4" s="5">
        <v>0</v>
      </c>
      <c r="E4" s="5">
        <v>0</v>
      </c>
      <c r="F4" s="6">
        <v>6000000</v>
      </c>
      <c r="G4" s="6">
        <v>6000000</v>
      </c>
      <c r="H4" s="6">
        <v>8000000</v>
      </c>
      <c r="I4" s="2"/>
      <c r="J4" s="2"/>
      <c r="K4" s="2"/>
      <c r="L4" s="2"/>
      <c r="M4" s="2"/>
      <c r="N4" s="2"/>
      <c r="O4" s="2"/>
    </row>
    <row r="5" spans="1:15" ht="24" customHeight="1" x14ac:dyDescent="0.2">
      <c r="A5" s="2"/>
      <c r="B5" s="5" t="s">
        <v>8</v>
      </c>
      <c r="C5" s="6">
        <v>20000000</v>
      </c>
      <c r="D5" s="6">
        <v>3000000</v>
      </c>
      <c r="E5" s="6">
        <v>4000000</v>
      </c>
      <c r="F5" s="6">
        <v>5000000</v>
      </c>
      <c r="G5" s="6">
        <v>6000000</v>
      </c>
      <c r="H5" s="6">
        <v>8000000</v>
      </c>
      <c r="I5" s="2"/>
      <c r="J5" s="2"/>
      <c r="K5" s="2"/>
      <c r="L5" s="2"/>
      <c r="M5" s="2"/>
      <c r="N5" s="2"/>
      <c r="O5" s="2"/>
    </row>
    <row r="6" spans="1:15" ht="24" customHeight="1" x14ac:dyDescent="0.2">
      <c r="A6" s="2"/>
      <c r="B6" s="5" t="s">
        <v>9</v>
      </c>
      <c r="C6" s="6">
        <v>16000000</v>
      </c>
      <c r="D6" s="6">
        <v>4000000</v>
      </c>
      <c r="E6" s="6">
        <v>5000000</v>
      </c>
      <c r="F6" s="6">
        <v>8000000</v>
      </c>
      <c r="G6" s="6">
        <v>3000000</v>
      </c>
      <c r="H6" s="6">
        <v>3000000</v>
      </c>
      <c r="I6" s="2"/>
      <c r="J6" s="2"/>
      <c r="K6" s="2"/>
      <c r="L6" s="2"/>
      <c r="M6" s="2"/>
      <c r="N6" s="2"/>
      <c r="O6" s="2"/>
    </row>
    <row r="7" spans="1:15" x14ac:dyDescent="0.2">
      <c r="A7" s="2"/>
      <c r="B7" s="7"/>
      <c r="C7" s="7"/>
      <c r="D7" s="7"/>
      <c r="E7" s="7"/>
      <c r="F7" s="7"/>
      <c r="G7" s="7"/>
      <c r="H7" s="7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1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 t="s">
        <v>0</v>
      </c>
      <c r="C10" s="8">
        <f>-C4+(D4/(1+0.06)^1)+(E4/(1+0.06)^2)+(F4/(1+0.06)^3)+(G4/(1+0.06)^4)+(H4/(1+0.06)^5)</f>
        <v>5768343.0605503879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 t="s">
        <v>8</v>
      </c>
      <c r="C11" s="8">
        <f>-C5+(D5/(1+0.06)^1)+(E5/(1+0.06)^2)+(F5/(1+0.06)^3)+(G5/(1+0.06)^4)+(H5/(1+0.06)^5)</f>
        <v>1318898.2168203266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 t="s">
        <v>9</v>
      </c>
      <c r="C12" s="8">
        <f>-C6+(D6/(1+0.06)^1)+(E6/(1+0.06)^2)+(F6/(1+0.06)^3)+(G6/(1+0.06)^4)+(H6/(1+0.06)^5)</f>
        <v>3558576.8783022212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9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1" t="s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1" t="s"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1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34" x14ac:dyDescent="0.2">
      <c r="A26" s="2"/>
      <c r="B26" s="3" t="s">
        <v>7</v>
      </c>
      <c r="C26" s="4" t="s">
        <v>1</v>
      </c>
      <c r="D26" s="3" t="s">
        <v>2</v>
      </c>
      <c r="E26" s="3" t="s">
        <v>3</v>
      </c>
      <c r="F26" s="3" t="s">
        <v>4</v>
      </c>
      <c r="G26" s="3" t="s">
        <v>5</v>
      </c>
      <c r="H26" s="3" t="s">
        <v>6</v>
      </c>
      <c r="I26" s="2"/>
      <c r="J26" s="2"/>
      <c r="K26" s="2"/>
      <c r="L26" s="2"/>
      <c r="M26" s="2"/>
      <c r="N26" s="2"/>
      <c r="O26" s="2"/>
    </row>
    <row r="27" spans="1:15" ht="24" customHeight="1" x14ac:dyDescent="0.2">
      <c r="A27" s="2"/>
      <c r="B27" s="10" t="s">
        <v>0</v>
      </c>
      <c r="C27" s="11">
        <v>-10000000</v>
      </c>
      <c r="D27" s="10">
        <v>0</v>
      </c>
      <c r="E27" s="10">
        <v>0</v>
      </c>
      <c r="F27" s="11">
        <v>6000000</v>
      </c>
      <c r="G27" s="11">
        <v>6000000</v>
      </c>
      <c r="H27" s="11">
        <v>8000000</v>
      </c>
      <c r="I27" s="2"/>
      <c r="J27" s="2"/>
      <c r="K27" s="2"/>
      <c r="L27" s="2"/>
      <c r="M27" s="2"/>
      <c r="N27" s="2"/>
      <c r="O27" s="2"/>
    </row>
    <row r="28" spans="1:15" ht="24" customHeight="1" x14ac:dyDescent="0.2">
      <c r="A28" s="2"/>
      <c r="B28" s="12" t="s">
        <v>13</v>
      </c>
      <c r="C28" s="13">
        <v>-10000000</v>
      </c>
      <c r="D28" s="13">
        <v>-10000000</v>
      </c>
      <c r="E28" s="13">
        <v>-10000000</v>
      </c>
      <c r="F28" s="13">
        <f>E28+F27</f>
        <v>-4000000</v>
      </c>
      <c r="G28" s="13">
        <f>F28+G27</f>
        <v>2000000</v>
      </c>
      <c r="H28" s="13">
        <f>G28+H27</f>
        <v>10000000</v>
      </c>
      <c r="I28" s="2"/>
      <c r="J28" s="2"/>
      <c r="K28" s="2"/>
      <c r="L28" s="2"/>
      <c r="M28" s="2"/>
      <c r="N28" s="2"/>
      <c r="O28" s="2"/>
    </row>
    <row r="29" spans="1:15" ht="8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14" t="s">
        <v>14</v>
      </c>
      <c r="C30" s="15">
        <f>3+(4000000/6000000)</f>
        <v>3.6666666666666665</v>
      </c>
      <c r="D30" s="1" t="s">
        <v>15</v>
      </c>
      <c r="E30" s="16" t="s">
        <v>17</v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1" t="s">
        <v>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0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34" x14ac:dyDescent="0.2">
      <c r="A34" s="2"/>
      <c r="B34" s="3" t="s">
        <v>7</v>
      </c>
      <c r="C34" s="4" t="s">
        <v>1</v>
      </c>
      <c r="D34" s="3" t="s">
        <v>2</v>
      </c>
      <c r="E34" s="3" t="s">
        <v>3</v>
      </c>
      <c r="F34" s="3" t="s">
        <v>4</v>
      </c>
      <c r="G34" s="3" t="s">
        <v>5</v>
      </c>
      <c r="H34" s="3" t="s">
        <v>6</v>
      </c>
      <c r="I34" s="2"/>
      <c r="J34" s="2"/>
      <c r="K34" s="2"/>
      <c r="L34" s="2"/>
      <c r="M34" s="2"/>
      <c r="N34" s="2"/>
      <c r="O34" s="2"/>
    </row>
    <row r="35" spans="1:15" ht="24" customHeight="1" x14ac:dyDescent="0.2">
      <c r="A35" s="2"/>
      <c r="B35" s="5" t="s">
        <v>8</v>
      </c>
      <c r="C35" s="11">
        <f>-C5</f>
        <v>-20000000</v>
      </c>
      <c r="D35" s="11">
        <f>D5</f>
        <v>3000000</v>
      </c>
      <c r="E35" s="11">
        <f>E5</f>
        <v>4000000</v>
      </c>
      <c r="F35" s="11">
        <f>F5</f>
        <v>5000000</v>
      </c>
      <c r="G35" s="11">
        <f>G5</f>
        <v>6000000</v>
      </c>
      <c r="H35" s="11">
        <f>H5</f>
        <v>8000000</v>
      </c>
      <c r="I35" s="2"/>
      <c r="J35" s="2"/>
      <c r="K35" s="2"/>
      <c r="L35" s="2"/>
      <c r="M35" s="2"/>
      <c r="N35" s="2"/>
      <c r="O35" s="2"/>
    </row>
    <row r="36" spans="1:15" ht="24" customHeight="1" x14ac:dyDescent="0.2">
      <c r="A36" s="2"/>
      <c r="B36" s="3" t="s">
        <v>16</v>
      </c>
      <c r="C36" s="13">
        <v>-20000000</v>
      </c>
      <c r="D36" s="13">
        <f>C36+D35</f>
        <v>-17000000</v>
      </c>
      <c r="E36" s="13">
        <f>D36+E35</f>
        <v>-13000000</v>
      </c>
      <c r="F36" s="13">
        <f>E36+F35</f>
        <v>-8000000</v>
      </c>
      <c r="G36" s="13">
        <f>F36+G35</f>
        <v>-2000000</v>
      </c>
      <c r="H36" s="13">
        <f>G36+H35</f>
        <v>6000000</v>
      </c>
      <c r="I36" s="2"/>
      <c r="J36" s="2"/>
      <c r="K36" s="2"/>
      <c r="L36" s="2"/>
      <c r="M36" s="2"/>
      <c r="N36" s="2"/>
      <c r="O36" s="2"/>
    </row>
    <row r="37" spans="1:15" ht="7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/>
      <c r="B38" s="14" t="s">
        <v>14</v>
      </c>
      <c r="C38" s="15">
        <f>4+(2000000/8000000)</f>
        <v>4.25</v>
      </c>
      <c r="D38" s="1" t="s">
        <v>15</v>
      </c>
      <c r="E38" s="16" t="s">
        <v>18</v>
      </c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/>
      <c r="B41" s="1" t="s">
        <v>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9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34" x14ac:dyDescent="0.2">
      <c r="A43" s="2"/>
      <c r="B43" s="3" t="s">
        <v>7</v>
      </c>
      <c r="C43" s="4" t="s">
        <v>1</v>
      </c>
      <c r="D43" s="3" t="s">
        <v>2</v>
      </c>
      <c r="E43" s="3" t="s">
        <v>3</v>
      </c>
      <c r="F43" s="3" t="s">
        <v>4</v>
      </c>
      <c r="G43" s="3" t="s">
        <v>5</v>
      </c>
      <c r="H43" s="3" t="s">
        <v>6</v>
      </c>
      <c r="I43" s="2"/>
      <c r="J43" s="2"/>
      <c r="K43" s="2"/>
      <c r="L43" s="2"/>
      <c r="M43" s="2"/>
      <c r="N43" s="2"/>
      <c r="O43" s="2"/>
    </row>
    <row r="44" spans="1:15" ht="24" customHeight="1" x14ac:dyDescent="0.2">
      <c r="A44" s="2"/>
      <c r="B44" s="5" t="s">
        <v>9</v>
      </c>
      <c r="C44" s="11">
        <v>-16000000</v>
      </c>
      <c r="D44" s="11">
        <v>4000000</v>
      </c>
      <c r="E44" s="11">
        <v>5000000</v>
      </c>
      <c r="F44" s="11">
        <v>8000000</v>
      </c>
      <c r="G44" s="11">
        <v>3000000</v>
      </c>
      <c r="H44" s="11">
        <v>3000000</v>
      </c>
      <c r="I44" s="2"/>
      <c r="J44" s="2"/>
      <c r="K44" s="2"/>
      <c r="L44" s="2"/>
      <c r="M44" s="2"/>
      <c r="N44" s="2"/>
      <c r="O44" s="2"/>
    </row>
    <row r="45" spans="1:15" ht="24" customHeight="1" x14ac:dyDescent="0.2">
      <c r="A45" s="2"/>
      <c r="B45" s="3" t="s">
        <v>19</v>
      </c>
      <c r="C45" s="13">
        <v>-16000000</v>
      </c>
      <c r="D45" s="13">
        <f>C45+D44</f>
        <v>-12000000</v>
      </c>
      <c r="E45" s="13">
        <f>D45+E44</f>
        <v>-7000000</v>
      </c>
      <c r="F45" s="13">
        <f>E45+F44</f>
        <v>1000000</v>
      </c>
      <c r="G45" s="13">
        <f>F45+G44</f>
        <v>4000000</v>
      </c>
      <c r="H45" s="13">
        <f>G45+H44</f>
        <v>7000000</v>
      </c>
      <c r="I45" s="2"/>
      <c r="J45" s="2"/>
      <c r="K45" s="2"/>
      <c r="L45" s="2"/>
      <c r="M45" s="2"/>
      <c r="N45" s="2"/>
      <c r="O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/>
      <c r="B47" s="14" t="s">
        <v>14</v>
      </c>
      <c r="C47" s="15">
        <f>2+(7000000/8000000)</f>
        <v>2.875</v>
      </c>
      <c r="D47" s="1" t="s">
        <v>15</v>
      </c>
      <c r="E47" s="16" t="s">
        <v>20</v>
      </c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/>
      <c r="B49" s="9" t="s">
        <v>21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Gonzalez Gervasoni</dc:creator>
  <cp:lastModifiedBy>Maria Jose Gonzalez Gervasoni</cp:lastModifiedBy>
  <dcterms:created xsi:type="dcterms:W3CDTF">2025-05-20T22:50:44Z</dcterms:created>
  <dcterms:modified xsi:type="dcterms:W3CDTF">2025-05-22T12:06:29Z</dcterms:modified>
</cp:coreProperties>
</file>